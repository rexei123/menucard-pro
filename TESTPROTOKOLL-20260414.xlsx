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protokoll" sheetId="1" state="visible" r:id="rId3"/>
    <sheet name="Sum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<sst xmlns="http://schemas.openxmlformats.org/spreadsheetml/2006/main" count="417" uniqueCount="187">
  <si>
    <t xml:space="preserve">MenuCard Pro — Manuelles Testprotokoll (14.04.2026)</t>
  </si>
  <si>
    <t xml:space="preserve">Bereich</t>
  </si>
  <si>
    <t xml:space="preserve">Testschritt</t>
  </si>
  <si>
    <t xml:space="preserve">Erwartetes Ergebnis</t>
  </si>
  <si>
    <t xml:space="preserve">Geraet</t>
  </si>
  <si>
    <t xml:space="preserve">Prio</t>
  </si>
  <si>
    <t xml:space="preserve">Pass/Fail</t>
  </si>
  <si>
    <t xml:space="preserve">Befund / Kommentar</t>
  </si>
  <si>
    <t xml:space="preserve">Gäste Mobile</t>
  </si>
  <si>
    <t xml:space="preserve">QR-Code mit Smartphone scannen (Restaurant-Karte)</t>
  </si>
  <si>
    <t xml:space="preserve">Oeffnet menu.hotel-sonnblick.at/... ohne Login, &lt;3s Ladezeit</t>
  </si>
  <si>
    <t xml:space="preserve">Smartphone</t>
  </si>
  <si>
    <t xml:space="preserve">Hoch</t>
  </si>
  <si>
    <t xml:space="preserve">Sprachwechsler DE→EN</t>
  </si>
  <si>
    <t xml:space="preserve">UI-Texte + Produktnamen wechseln, URL enthaelt ?lang=en</t>
  </si>
  <si>
    <t xml:space="preserve">Kategorie aus sticky-nav antippen</t>
  </si>
  <si>
    <t xml:space="preserve">Springt zur Sektion, sticky-nav bleibt sichtbar</t>
  </si>
  <si>
    <t xml:space="preserve">Produkt antippen</t>
  </si>
  <si>
    <t xml:space="preserve">Detailansicht mit Bild, Allergenen, Beschreibung oeffnet sich</t>
  </si>
  <si>
    <t xml:space="preserve">Zurueck-Button aus Detailansicht</t>
  </si>
  <si>
    <t xml:space="preserve">Kehrt zur Karte an alter Scrollposition zurueck</t>
  </si>
  <si>
    <t xml:space="preserve">Suche 'Wiener Schnitzel' tippen</t>
  </si>
  <si>
    <t xml:space="preserve">Ergebnis erscheint, sectionName wird mitgesucht</t>
  </si>
  <si>
    <t xml:space="preserve">Produkt mit SOLD_OUT anzeigen</t>
  </si>
  <si>
    <t xml:space="preserve">Deutlich als 'ausverkauft' markiert, abgegraut</t>
  </si>
  <si>
    <t xml:space="preserve">Highlight-Badge RECOMMENDATION</t>
  </si>
  <si>
    <t xml:space="preserve">Badge 'Empfehlung' rosa/pink sichtbar</t>
  </si>
  <si>
    <t xml:space="preserve">Mittel</t>
  </si>
  <si>
    <t xml:space="preserve">Weinkarte: Produkt mit Glas+Flasche-Preis</t>
  </si>
  <si>
    <t xml:space="preserve">Beide Preise werden angezeigt, korrekt formatiert (de-AT)</t>
  </si>
  <si>
    <t xml:space="preserve">Allergen-Symbole auf Detailseite</t>
  </si>
  <si>
    <t xml:space="preserve">A,B,C… als Badges, Tooltip/Expand mit Bedeutung</t>
  </si>
  <si>
    <t xml:space="preserve">Zusatzstoffe werden angezeigt</t>
  </si>
  <si>
    <t xml:space="preserve">Liste mit Uebersetzung erscheint</t>
  </si>
  <si>
    <t xml:space="preserve">EVENT-Karte (Gourmet-Menue) oeffnen</t>
  </si>
  <si>
    <t xml:space="preserve">Gaenge sequenziell dargestellt</t>
  </si>
  <si>
    <t xml:space="preserve">QR-Scan wird als Analytics-Event erfasst</t>
  </si>
  <si>
    <t xml:space="preserve">QR_SCAN-Event in AnalyticsEvent-Tabelle</t>
  </si>
  <si>
    <t xml:space="preserve">PDF-Download-Link auf Karte</t>
  </si>
  <si>
    <t xml:space="preserve">Klick liefert PDF mit korrekter Formatierung</t>
  </si>
  <si>
    <t xml:space="preserve">Gäste Desktop</t>
  </si>
  <si>
    <t xml:space="preserve">Karten-URL direkt im Desktop-Browser</t>
  </si>
  <si>
    <t xml:space="preserve">Responsive Desktop-Layout rendert</t>
  </si>
  <si>
    <t xml:space="preserve">Desktop</t>
  </si>
  <si>
    <t xml:space="preserve">Tablet-Ansicht (iPad-Breite)</t>
  </si>
  <si>
    <t xml:space="preserve">Layout passt sich an, 2-spaltiges Grid fuer Weine</t>
  </si>
  <si>
    <t xml:space="preserve">Tablet</t>
  </si>
  <si>
    <t xml:space="preserve">Sprachwechsler DE/EN Persistenz</t>
  </si>
  <si>
    <t xml:space="preserve">Sprache bleibt beim Navigieren erhalten</t>
  </si>
  <si>
    <t xml:space="preserve">Suche mit Umlauten 'Gulaschsuppe'</t>
  </si>
  <si>
    <t xml:space="preserve">Findet korrekt, keine Encoding-Fehler</t>
  </si>
  <si>
    <t xml:space="preserve">Admin Login</t>
  </si>
  <si>
    <t xml:space="preserve">Login mit admin@hotel-sonnblick.at</t>
  </si>
  <si>
    <t xml:space="preserve">Erfolgreich, Weiterleitung /admin</t>
  </si>
  <si>
    <t xml:space="preserve">Falsche Credentials</t>
  </si>
  <si>
    <t xml:space="preserve">Fehlermeldung, kein Zugriff</t>
  </si>
  <si>
    <t xml:space="preserve">Logout-Button</t>
  </si>
  <si>
    <t xml:space="preserve">Session beendet, Redirect /auth/login</t>
  </si>
  <si>
    <t xml:space="preserve">Cookie session-token nach Login</t>
  </si>
  <si>
    <t xml:space="preserve">Cookie gesetzt, HttpOnly, Secure</t>
  </si>
  <si>
    <t xml:space="preserve">Admin Dashboard</t>
  </si>
  <si>
    <t xml:space="preserve">Dashboard-KPIs (Produkte, Karten, Scans)</t>
  </si>
  <si>
    <t xml:space="preserve">Zahlen korrekt, aus DB</t>
  </si>
  <si>
    <t xml:space="preserve">Recent Changes Liste</t>
  </si>
  <si>
    <t xml:space="preserve">Letzte 10 Aenderungen werden angezeigt</t>
  </si>
  <si>
    <t xml:space="preserve">Quick Access Icons</t>
  </si>
  <si>
    <t xml:space="preserve">Alle fuehren zu richtigen Seiten</t>
  </si>
  <si>
    <t xml:space="preserve">Admin Produkte</t>
  </si>
  <si>
    <t xml:space="preserve">/admin/items - Liste aller 322 Produkte</t>
  </si>
  <si>
    <t xml:space="preserve">Paginiert oder virtualisiert, Scroll ruckelfrei</t>
  </si>
  <si>
    <t xml:space="preserve">Neues Produkt anlegen (Speise)</t>
  </si>
  <si>
    <t xml:space="preserve">SKU auto SB-XXXX, DE+EN Translation automatisch</t>
  </si>
  <si>
    <t xml:space="preserve">Neues Produkt anlegen (Wein)</t>
  </si>
  <si>
    <t xml:space="preserve">WineProfile-Tab erscheint, alle Felder speicherbar</t>
  </si>
  <si>
    <t xml:space="preserve">Neues Produkt anlegen (Getraenk)</t>
  </si>
  <si>
    <t xml:space="preserve">BeverageDetail-Tab erscheint</t>
  </si>
  <si>
    <t xml:space="preserve">Preis hinzufuegen (0.75l × Restaurant × 15.50)</t>
  </si>
  <si>
    <t xml:space="preserve">Wird in ProductPrice gespeichert, in Karte sichtbar</t>
  </si>
  <si>
    <t xml:space="preserve">Bild hochladen</t>
  </si>
  <si>
    <t xml:space="preserve">Sharp generiert 3 Groessen, Thumbnail im Editor sichtbar</t>
  </si>
  <si>
    <t xml:space="preserve">Auto-Translate DE→EN</t>
  </si>
  <si>
    <t xml:space="preserve">MyMemory API, Uebersetzung erscheint nach &lt;5s</t>
  </si>
  <si>
    <t xml:space="preserve">Produkt auf SOLD_OUT setzen</t>
  </si>
  <si>
    <t xml:space="preserve">Gaeste-Ansicht markiert es sofort</t>
  </si>
  <si>
    <t xml:space="preserve">Produkt archivieren</t>
  </si>
  <si>
    <t xml:space="preserve">Verschwindet aus Karten, bleibt in DB</t>
  </si>
  <si>
    <t xml:space="preserve">Allergene A,B,C zuweisen</t>
  </si>
  <si>
    <t xml:space="preserve">Multi-Select, speichert in ProductAllergen</t>
  </si>
  <si>
    <t xml:space="preserve">Admin Karten</t>
  </si>
  <si>
    <t xml:space="preserve">/admin/menus - Liste 9 Karten</t>
  </si>
  <si>
    <t xml:space="preserve">Alle 9 sichtbar, Typ-Badges korrekt</t>
  </si>
  <si>
    <t xml:space="preserve">Karte oeffnen, Sektion hinzufuegen</t>
  </si>
  <si>
    <t xml:space="preserve">Sektion wird gespeichert, erscheint in Gaeste-Ansicht</t>
  </si>
  <si>
    <t xml:space="preserve">Drag&amp;Drop Produkt in Sektion</t>
  </si>
  <si>
    <t xml:space="preserve">Sortierung wird persistiert</t>
  </si>
  <si>
    <t xml:space="preserve">MenuPlacement mit Price-Override</t>
  </si>
  <si>
    <t xml:space="preserve">Preis ueberschreibt Default auf Karte</t>
  </si>
  <si>
    <t xml:space="preserve">Produkt aus Karte entfernen</t>
  </si>
  <si>
    <t xml:space="preserve">MenuPlacement geloescht, Produkt bleibt in DB</t>
  </si>
  <si>
    <t xml:space="preserve">Karte archivieren</t>
  </si>
  <si>
    <t xml:space="preserve">isArchived=true, nicht mehr oeffentlich</t>
  </si>
  <si>
    <t xml:space="preserve">Karte duplizieren</t>
  </si>
  <si>
    <t xml:space="preserve">Kopie mit neuem Slug, alle Sektionen + Placements</t>
  </si>
  <si>
    <t xml:space="preserve">Admin Design</t>
  </si>
  <si>
    <t xml:space="preserve">/admin/design - Template-Uebersicht</t>
  </si>
  <si>
    <t xml:space="preserve">4 SYSTEM + 1 CUSTOM sichtbar</t>
  </si>
  <si>
    <t xml:space="preserve">SYSTEM-Template 'Elegant' anklicken</t>
  </si>
  <si>
    <t xml:space="preserve">Redirect auf /admin/design (nicht editierbar)</t>
  </si>
  <si>
    <t xml:space="preserve">CUSTOM-Template 'Test 1' editieren</t>
  </si>
  <si>
    <t xml:space="preserve">/admin/design/[id]/edit oeffnet mit 7 Akkordeons</t>
  </si>
  <si>
    <t xml:space="preserve">Akzentfarbe aendern</t>
  </si>
  <si>
    <t xml:space="preserve">Live-Vorschau rechts updatet sofort</t>
  </si>
  <si>
    <t xml:space="preserve">Schriftart aendern</t>
  </si>
  <si>
    <t xml:space="preserve">Vorschau uebernimmt Font</t>
  </si>
  <si>
    <t xml:space="preserve">Template duplizieren</t>
  </si>
  <si>
    <t xml:space="preserve">Neues CUSTOM-Template mit Original-Config</t>
  </si>
  <si>
    <t xml:space="preserve">Template einer Karte zuweisen</t>
  </si>
  <si>
    <t xml:space="preserve">Menu.templateId setzt Design oeffentlich um</t>
  </si>
  <si>
    <t xml:space="preserve">Admin QR-Codes</t>
  </si>
  <si>
    <t xml:space="preserve">/admin/qr-codes - Liste 10 Codes</t>
  </si>
  <si>
    <t xml:space="preserve">Alle 10 sichtbar, Vorschau-Thumbnails</t>
  </si>
  <si>
    <t xml:space="preserve">Neuen QR anlegen</t>
  </si>
  <si>
    <t xml:space="preserve">shortCode automatisch generiert, unique</t>
  </si>
  <si>
    <t xml:space="preserve">QR-Download PNG</t>
  </si>
  <si>
    <t xml:space="preserve">PNG mit Logo-Overlay, 1000x1000px</t>
  </si>
  <si>
    <t xml:space="preserve">QR-Download SVG</t>
  </si>
  <si>
    <t xml:space="preserve">SVG, skalierbar, Farben korrekt</t>
  </si>
  <si>
    <t xml:space="preserve">QR-Download PDF</t>
  </si>
  <si>
    <t xml:space="preserve">Druckfaehiges PDF</t>
  </si>
  <si>
    <t xml:space="preserve">QR testen mit Smartphone</t>
  </si>
  <si>
    <t xml:space="preserve">Oeffnet richtige Karten-URL, scans-Counter +1</t>
  </si>
  <si>
    <t xml:space="preserve">Admin Bildarchiv</t>
  </si>
  <si>
    <t xml:space="preserve">/admin/media - Galerie</t>
  </si>
  <si>
    <t xml:space="preserve">Alle Bilder als Grid, nach MediaCategory filterbar</t>
  </si>
  <si>
    <t xml:space="preserve">Upload neues Bild</t>
  </si>
  <si>
    <t xml:space="preserve">Sharp-Pipeline, 3 Formate, thumbnailUrl gesetzt</t>
  </si>
  <si>
    <t xml:space="preserve">Websuche-Tab</t>
  </si>
  <si>
    <t xml:space="preserve">SearXNG liefert Ergebnisse, Import in Archiv moeglich</t>
  </si>
  <si>
    <t xml:space="preserve">MediaPicker im Produkt-Editor</t>
  </si>
  <si>
    <t xml:space="preserve">Modal oeffnet, Auswahl uebernimmt Bild</t>
  </si>
  <si>
    <t xml:space="preserve">Admin Import</t>
  </si>
  <si>
    <t xml:space="preserve">/admin/import - CSV hochladen</t>
  </si>
  <si>
    <t xml:space="preserve">Vorschau mit editierbarer Tabelle</t>
  </si>
  <si>
    <t xml:space="preserve">Import durchfuehren</t>
  </si>
  <si>
    <t xml:space="preserve">Produkte werden angelegt, Report am Ende</t>
  </si>
  <si>
    <t xml:space="preserve">Admin Analytics</t>
  </si>
  <si>
    <t xml:space="preserve">/admin/analytics</t>
  </si>
  <si>
    <t xml:space="preserve">Basis-Chart fuer letzten 30 Tage</t>
  </si>
  <si>
    <t xml:space="preserve">Niedrig</t>
  </si>
  <si>
    <t xml:space="preserve">QR-Scans pro Code</t>
  </si>
  <si>
    <t xml:space="preserve">Auswertung pro QRCode.scans</t>
  </si>
  <si>
    <t xml:space="preserve">Admin Settings</t>
  </si>
  <si>
    <t xml:space="preserve">/admin/settings - Sprache hinzufuegen</t>
  </si>
  <si>
    <t xml:space="preserve">TenantLanguage wird angelegt</t>
  </si>
  <si>
    <t xml:space="preserve">/admin/settings - Allergene verwalten</t>
  </si>
  <si>
    <t xml:space="preserve">EU14 editierbar, Translations DE+EN</t>
  </si>
  <si>
    <t xml:space="preserve">Passwort aendern</t>
  </si>
  <si>
    <t xml:space="preserve">Hash wird aktualisiert, Login mit neuem PW moeglich</t>
  </si>
  <si>
    <t xml:space="preserve">Admin PDF</t>
  </si>
  <si>
    <t xml:space="preserve">/admin/pdf-creator - Layout waehlen</t>
  </si>
  <si>
    <t xml:space="preserve">4 Templates auswaehlbar</t>
  </si>
  <si>
    <t xml:space="preserve">PDF fuer 'Weinkarte' generieren</t>
  </si>
  <si>
    <t xml:space="preserve">Download startet, PDF-Inhalt korrekt</t>
  </si>
  <si>
    <t xml:space="preserve">Security</t>
  </si>
  <si>
    <t xml:space="preserve">GET /.git/config (Nginx-Block)</t>
  </si>
  <si>
    <t xml:space="preserve">404 oder 403, nicht 200</t>
  </si>
  <si>
    <t xml:space="preserve">GET /.env</t>
  </si>
  <si>
    <t xml:space="preserve">404</t>
  </si>
  <si>
    <t xml:space="preserve">GET /prisma/schema.prisma</t>
  </si>
  <si>
    <t xml:space="preserve">POST /api/auth/login 100x in 30s (Rate-Limit)</t>
  </si>
  <si>
    <t xml:space="preserve">Nach 3 Versuchen 429</t>
  </si>
  <si>
    <t xml:space="preserve">Admin-Seite ohne Login</t>
  </si>
  <si>
    <t xml:space="preserve">307 Redirect nach /auth/login</t>
  </si>
  <si>
    <t xml:space="preserve">HTTPS-Redirect von HTTP</t>
  </si>
  <si>
    <t xml:space="preserve">301 zu https://</t>
  </si>
  <si>
    <t xml:space="preserve">SSL-Zertifikat gueltig</t>
  </si>
  <si>
    <t xml:space="preserve">Nicht abgelaufen, Issuer Let's Encrypt</t>
  </si>
  <si>
    <t xml:space="preserve">Performance</t>
  </si>
  <si>
    <t xml:space="preserve">Lighthouse-Score Gaeste-Karte Mobile</t>
  </si>
  <si>
    <t xml:space="preserve">Score &gt;= 90 alle Kategorien</t>
  </si>
  <si>
    <t xml:space="preserve">TTFB Hauptkarte</t>
  </si>
  <si>
    <t xml:space="preserve">&lt; 200ms</t>
  </si>
  <si>
    <t xml:space="preserve">LCP &lt; 2.5s auf 4G-Simulation</t>
  </si>
  <si>
    <t xml:space="preserve">Core Web Vitals grün</t>
  </si>
  <si>
    <t xml:space="preserve">Test-Status Uebersicht</t>
  </si>
  <si>
    <t xml:space="preserve">Tests gesamt</t>
  </si>
  <si>
    <t xml:space="preserve">Pass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</si>
</sst>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DD3C71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4A4A4A"/>
        <bgColor rgb="FF333399"/>
      </patternFill>
    </fill>
    <fill>
      <patternFill patternType="solid">
        <fgColor rgb="FFF5F5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D3C71"/>
      <rgbColor rgb="FFF5F5F0"/>
      <rgbColor rgb="FFCCFFFF"/>
      <rgbColor rgb="FF660066"/>
      <rgbColor rgb="FFFF8080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B7280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4" t="s">
        <v>12</v>
      </c>
      <c r="F3" s="3"/>
      <c r="G3" s="3"/>
    </row>
    <row r="4" customFormat="false" ht="15" hidden="false" customHeight="false" outlineLevel="0" collapsed="false">
      <c r="A4" s="5" t="s">
        <v>8</v>
      </c>
      <c r="B4" s="5" t="s">
        <v>13</v>
      </c>
      <c r="C4" s="5" t="s">
        <v>14</v>
      </c>
      <c r="D4" s="5" t="s">
        <v>11</v>
      </c>
      <c r="E4" s="6" t="s">
        <v>12</v>
      </c>
      <c r="F4" s="5"/>
      <c r="G4" s="5"/>
    </row>
    <row r="5" customFormat="false" ht="15" hidden="false" customHeight="false" outlineLevel="0" collapsed="false">
      <c r="A5" s="3" t="s">
        <v>8</v>
      </c>
      <c r="B5" s="3" t="s">
        <v>15</v>
      </c>
      <c r="C5" s="3" t="s">
        <v>16</v>
      </c>
      <c r="D5" s="3" t="s">
        <v>11</v>
      </c>
      <c r="E5" s="4" t="s">
        <v>12</v>
      </c>
      <c r="F5" s="3"/>
      <c r="G5" s="3"/>
    </row>
    <row r="6" customFormat="false" ht="15" hidden="false" customHeight="false" outlineLevel="0" collapsed="false">
      <c r="A6" s="5" t="s">
        <v>8</v>
      </c>
      <c r="B6" s="5" t="s">
        <v>17</v>
      </c>
      <c r="C6" s="5" t="s">
        <v>18</v>
      </c>
      <c r="D6" s="5" t="s">
        <v>11</v>
      </c>
      <c r="E6" s="6" t="s">
        <v>12</v>
      </c>
      <c r="F6" s="5"/>
      <c r="G6" s="5"/>
    </row>
    <row r="7" customFormat="false" ht="15" hidden="false" customHeight="false" outlineLevel="0" collapsed="false">
      <c r="A7" s="3" t="s">
        <v>8</v>
      </c>
      <c r="B7" s="3" t="s">
        <v>19</v>
      </c>
      <c r="C7" s="3" t="s">
        <v>20</v>
      </c>
      <c r="D7" s="3" t="s">
        <v>11</v>
      </c>
      <c r="E7" s="4" t="s">
        <v>12</v>
      </c>
      <c r="F7" s="3"/>
      <c r="G7" s="3"/>
    </row>
    <row r="8" customFormat="false" ht="15" hidden="false" customHeight="false" outlineLevel="0" collapsed="false">
      <c r="A8" s="5" t="s">
        <v>8</v>
      </c>
      <c r="B8" s="5" t="s">
        <v>21</v>
      </c>
      <c r="C8" s="5" t="s">
        <v>22</v>
      </c>
      <c r="D8" s="5" t="s">
        <v>11</v>
      </c>
      <c r="E8" s="6" t="s">
        <v>12</v>
      </c>
      <c r="F8" s="5"/>
      <c r="G8" s="5"/>
    </row>
    <row r="9" customFormat="false" ht="15" hidden="false" customHeight="false" outlineLevel="0" collapsed="false">
      <c r="A9" s="3" t="s">
        <v>8</v>
      </c>
      <c r="B9" s="3" t="s">
        <v>23</v>
      </c>
      <c r="C9" s="3" t="s">
        <v>24</v>
      </c>
      <c r="D9" s="3" t="s">
        <v>11</v>
      </c>
      <c r="E9" s="4" t="s">
        <v>12</v>
      </c>
      <c r="F9" s="3"/>
      <c r="G9" s="3"/>
    </row>
    <row r="10" customFormat="false" ht="15" hidden="false" customHeight="false" outlineLevel="0" collapsed="false">
      <c r="A10" s="5" t="s">
        <v>8</v>
      </c>
      <c r="B10" s="5" t="s">
        <v>25</v>
      </c>
      <c r="C10" s="5" t="s">
        <v>26</v>
      </c>
      <c r="D10" s="5" t="s">
        <v>11</v>
      </c>
      <c r="E10" s="7" t="s">
        <v>27</v>
      </c>
      <c r="F10" s="5"/>
      <c r="G10" s="5"/>
    </row>
    <row r="11" customFormat="false" ht="15" hidden="false" customHeight="false" outlineLevel="0" collapsed="false">
      <c r="A11" s="3" t="s">
        <v>8</v>
      </c>
      <c r="B11" s="3" t="s">
        <v>28</v>
      </c>
      <c r="C11" s="3" t="s">
        <v>29</v>
      </c>
      <c r="D11" s="3" t="s">
        <v>11</v>
      </c>
      <c r="E11" s="4" t="s">
        <v>12</v>
      </c>
      <c r="F11" s="3"/>
      <c r="G11" s="3"/>
    </row>
    <row r="12" customFormat="false" ht="15" hidden="false" customHeight="false" outlineLevel="0" collapsed="false">
      <c r="A12" s="5" t="s">
        <v>8</v>
      </c>
      <c r="B12" s="5" t="s">
        <v>30</v>
      </c>
      <c r="C12" s="5" t="s">
        <v>31</v>
      </c>
      <c r="D12" s="5" t="s">
        <v>11</v>
      </c>
      <c r="E12" s="6" t="s">
        <v>12</v>
      </c>
      <c r="F12" s="5"/>
      <c r="G12" s="5"/>
    </row>
    <row r="13" customFormat="false" ht="15" hidden="false" customHeight="false" outlineLevel="0" collapsed="false">
      <c r="A13" s="3" t="s">
        <v>8</v>
      </c>
      <c r="B13" s="3" t="s">
        <v>32</v>
      </c>
      <c r="C13" s="3" t="s">
        <v>33</v>
      </c>
      <c r="D13" s="3" t="s">
        <v>11</v>
      </c>
      <c r="E13" s="8" t="s">
        <v>27</v>
      </c>
      <c r="F13" s="3"/>
      <c r="G13" s="3"/>
    </row>
    <row r="14" customFormat="false" ht="15" hidden="false" customHeight="false" outlineLevel="0" collapsed="false">
      <c r="A14" s="5" t="s">
        <v>8</v>
      </c>
      <c r="B14" s="5" t="s">
        <v>34</v>
      </c>
      <c r="C14" s="5" t="s">
        <v>35</v>
      </c>
      <c r="D14" s="5" t="s">
        <v>11</v>
      </c>
      <c r="E14" s="6" t="s">
        <v>12</v>
      </c>
      <c r="F14" s="5"/>
      <c r="G14" s="5"/>
    </row>
    <row r="15" customFormat="false" ht="15" hidden="false" customHeight="false" outlineLevel="0" collapsed="false">
      <c r="A15" s="3" t="s">
        <v>8</v>
      </c>
      <c r="B15" s="3" t="s">
        <v>36</v>
      </c>
      <c r="C15" s="3" t="s">
        <v>37</v>
      </c>
      <c r="D15" s="3" t="s">
        <v>11</v>
      </c>
      <c r="E15" s="8" t="s">
        <v>27</v>
      </c>
      <c r="F15" s="3"/>
      <c r="G15" s="3"/>
    </row>
    <row r="16" customFormat="false" ht="15" hidden="false" customHeight="false" outlineLevel="0" collapsed="false">
      <c r="A16" s="5" t="s">
        <v>8</v>
      </c>
      <c r="B16" s="5" t="s">
        <v>38</v>
      </c>
      <c r="C16" s="5" t="s">
        <v>39</v>
      </c>
      <c r="D16" s="5" t="s">
        <v>11</v>
      </c>
      <c r="E16" s="7" t="s">
        <v>27</v>
      </c>
      <c r="F16" s="5"/>
      <c r="G16" s="5"/>
    </row>
    <row r="17" customFormat="false" ht="15" hidden="false" customHeight="false" outlineLevel="0" collapsed="false">
      <c r="A17" s="3" t="s">
        <v>40</v>
      </c>
      <c r="B17" s="3" t="s">
        <v>41</v>
      </c>
      <c r="C17" s="3" t="s">
        <v>42</v>
      </c>
      <c r="D17" s="3" t="s">
        <v>43</v>
      </c>
      <c r="E17" s="4" t="s">
        <v>12</v>
      </c>
      <c r="F17" s="3"/>
      <c r="G17" s="3"/>
    </row>
    <row r="18" customFormat="false" ht="15" hidden="false" customHeight="false" outlineLevel="0" collapsed="false">
      <c r="A18" s="5" t="s">
        <v>40</v>
      </c>
      <c r="B18" s="5" t="s">
        <v>44</v>
      </c>
      <c r="C18" s="5" t="s">
        <v>45</v>
      </c>
      <c r="D18" s="5" t="s">
        <v>46</v>
      </c>
      <c r="E18" s="7" t="s">
        <v>27</v>
      </c>
      <c r="F18" s="5"/>
      <c r="G18" s="5"/>
    </row>
    <row r="19" customFormat="false" ht="15" hidden="false" customHeight="false" outlineLevel="0" collapsed="false">
      <c r="A19" s="3" t="s">
        <v>40</v>
      </c>
      <c r="B19" s="3" t="s">
        <v>47</v>
      </c>
      <c r="C19" s="3" t="s">
        <v>48</v>
      </c>
      <c r="D19" s="3" t="s">
        <v>43</v>
      </c>
      <c r="E19" s="8" t="s">
        <v>27</v>
      </c>
      <c r="F19" s="3"/>
      <c r="G19" s="3"/>
    </row>
    <row r="20" customFormat="false" ht="15" hidden="false" customHeight="false" outlineLevel="0" collapsed="false">
      <c r="A20" s="5" t="s">
        <v>40</v>
      </c>
      <c r="B20" s="5" t="s">
        <v>49</v>
      </c>
      <c r="C20" s="5" t="s">
        <v>50</v>
      </c>
      <c r="D20" s="5" t="s">
        <v>43</v>
      </c>
      <c r="E20" s="6" t="s">
        <v>12</v>
      </c>
      <c r="F20" s="5"/>
      <c r="G20" s="5"/>
    </row>
    <row r="21" customFormat="false" ht="15" hidden="false" customHeight="false" outlineLevel="0" collapsed="false">
      <c r="A21" s="3" t="s">
        <v>51</v>
      </c>
      <c r="B21" s="3" t="s">
        <v>52</v>
      </c>
      <c r="C21" s="3" t="s">
        <v>53</v>
      </c>
      <c r="D21" s="3" t="s">
        <v>43</v>
      </c>
      <c r="E21" s="4" t="s">
        <v>12</v>
      </c>
      <c r="F21" s="3"/>
      <c r="G21" s="3"/>
    </row>
    <row r="22" customFormat="false" ht="15" hidden="false" customHeight="false" outlineLevel="0" collapsed="false">
      <c r="A22" s="5" t="s">
        <v>51</v>
      </c>
      <c r="B22" s="5" t="s">
        <v>54</v>
      </c>
      <c r="C22" s="5" t="s">
        <v>55</v>
      </c>
      <c r="D22" s="5" t="s">
        <v>43</v>
      </c>
      <c r="E22" s="6" t="s">
        <v>12</v>
      </c>
      <c r="F22" s="5"/>
      <c r="G22" s="5"/>
    </row>
    <row r="23" customFormat="false" ht="15" hidden="false" customHeight="false" outlineLevel="0" collapsed="false">
      <c r="A23" s="3" t="s">
        <v>51</v>
      </c>
      <c r="B23" s="3" t="s">
        <v>56</v>
      </c>
      <c r="C23" s="3" t="s">
        <v>57</v>
      </c>
      <c r="D23" s="3" t="s">
        <v>43</v>
      </c>
      <c r="E23" s="4" t="s">
        <v>12</v>
      </c>
      <c r="F23" s="3"/>
      <c r="G23" s="3"/>
    </row>
    <row r="24" customFormat="false" ht="15" hidden="false" customHeight="false" outlineLevel="0" collapsed="false">
      <c r="A24" s="5" t="s">
        <v>51</v>
      </c>
      <c r="B24" s="5" t="s">
        <v>58</v>
      </c>
      <c r="C24" s="5" t="s">
        <v>59</v>
      </c>
      <c r="D24" s="5" t="s">
        <v>43</v>
      </c>
      <c r="E24" s="6" t="s">
        <v>12</v>
      </c>
      <c r="F24" s="5"/>
      <c r="G24" s="5"/>
    </row>
    <row r="25" customFormat="false" ht="15" hidden="false" customHeight="false" outlineLevel="0" collapsed="false">
      <c r="A25" s="3" t="s">
        <v>60</v>
      </c>
      <c r="B25" s="3" t="s">
        <v>61</v>
      </c>
      <c r="C25" s="3" t="s">
        <v>62</v>
      </c>
      <c r="D25" s="3" t="s">
        <v>43</v>
      </c>
      <c r="E25" s="4" t="s">
        <v>12</v>
      </c>
      <c r="F25" s="3"/>
      <c r="G25" s="3"/>
    </row>
    <row r="26" customFormat="false" ht="15" hidden="false" customHeight="false" outlineLevel="0" collapsed="false">
      <c r="A26" s="5" t="s">
        <v>60</v>
      </c>
      <c r="B26" s="5" t="s">
        <v>63</v>
      </c>
      <c r="C26" s="5" t="s">
        <v>64</v>
      </c>
      <c r="D26" s="5" t="s">
        <v>43</v>
      </c>
      <c r="E26" s="7" t="s">
        <v>27</v>
      </c>
      <c r="F26" s="5"/>
      <c r="G26" s="5"/>
    </row>
    <row r="27" customFormat="false" ht="15" hidden="false" customHeight="false" outlineLevel="0" collapsed="false">
      <c r="A27" s="3" t="s">
        <v>60</v>
      </c>
      <c r="B27" s="3" t="s">
        <v>65</v>
      </c>
      <c r="C27" s="3" t="s">
        <v>66</v>
      </c>
      <c r="D27" s="3" t="s">
        <v>43</v>
      </c>
      <c r="E27" s="8" t="s">
        <v>27</v>
      </c>
      <c r="F27" s="3"/>
      <c r="G27" s="3"/>
    </row>
    <row r="28" customFormat="false" ht="15" hidden="false" customHeight="false" outlineLevel="0" collapsed="false">
      <c r="A28" s="5" t="s">
        <v>67</v>
      </c>
      <c r="B28" s="5" t="s">
        <v>68</v>
      </c>
      <c r="C28" s="5" t="s">
        <v>69</v>
      </c>
      <c r="D28" s="5" t="s">
        <v>43</v>
      </c>
      <c r="E28" s="6" t="s">
        <v>12</v>
      </c>
      <c r="F28" s="5"/>
      <c r="G28" s="5"/>
    </row>
    <row r="29" customFormat="false" ht="15" hidden="false" customHeight="false" outlineLevel="0" collapsed="false">
      <c r="A29" s="3" t="s">
        <v>67</v>
      </c>
      <c r="B29" s="3" t="s">
        <v>70</v>
      </c>
      <c r="C29" s="3" t="s">
        <v>71</v>
      </c>
      <c r="D29" s="3" t="s">
        <v>43</v>
      </c>
      <c r="E29" s="4" t="s">
        <v>12</v>
      </c>
      <c r="F29" s="3"/>
      <c r="G29" s="3"/>
    </row>
    <row r="30" customFormat="false" ht="15" hidden="false" customHeight="false" outlineLevel="0" collapsed="false">
      <c r="A30" s="5" t="s">
        <v>67</v>
      </c>
      <c r="B30" s="5" t="s">
        <v>72</v>
      </c>
      <c r="C30" s="5" t="s">
        <v>73</v>
      </c>
      <c r="D30" s="5" t="s">
        <v>43</v>
      </c>
      <c r="E30" s="6" t="s">
        <v>12</v>
      </c>
      <c r="F30" s="5"/>
      <c r="G30" s="5"/>
    </row>
    <row r="31" customFormat="false" ht="15" hidden="false" customHeight="false" outlineLevel="0" collapsed="false">
      <c r="A31" s="3" t="s">
        <v>67</v>
      </c>
      <c r="B31" s="3" t="s">
        <v>74</v>
      </c>
      <c r="C31" s="3" t="s">
        <v>75</v>
      </c>
      <c r="D31" s="3" t="s">
        <v>43</v>
      </c>
      <c r="E31" s="4" t="s">
        <v>12</v>
      </c>
      <c r="F31" s="3"/>
      <c r="G31" s="3"/>
    </row>
    <row r="32" customFormat="false" ht="15" hidden="false" customHeight="false" outlineLevel="0" collapsed="false">
      <c r="A32" s="5" t="s">
        <v>67</v>
      </c>
      <c r="B32" s="5" t="s">
        <v>76</v>
      </c>
      <c r="C32" s="5" t="s">
        <v>77</v>
      </c>
      <c r="D32" s="5" t="s">
        <v>43</v>
      </c>
      <c r="E32" s="6" t="s">
        <v>12</v>
      </c>
      <c r="F32" s="5"/>
      <c r="G32" s="5"/>
    </row>
    <row r="33" customFormat="false" ht="15" hidden="false" customHeight="false" outlineLevel="0" collapsed="false">
      <c r="A33" s="3" t="s">
        <v>67</v>
      </c>
      <c r="B33" s="3" t="s">
        <v>78</v>
      </c>
      <c r="C33" s="3" t="s">
        <v>79</v>
      </c>
      <c r="D33" s="3" t="s">
        <v>43</v>
      </c>
      <c r="E33" s="4" t="s">
        <v>12</v>
      </c>
      <c r="F33" s="3"/>
      <c r="G33" s="3"/>
    </row>
    <row r="34" customFormat="false" ht="15" hidden="false" customHeight="false" outlineLevel="0" collapsed="false">
      <c r="A34" s="5" t="s">
        <v>67</v>
      </c>
      <c r="B34" s="5" t="s">
        <v>80</v>
      </c>
      <c r="C34" s="5" t="s">
        <v>81</v>
      </c>
      <c r="D34" s="5" t="s">
        <v>43</v>
      </c>
      <c r="E34" s="7" t="s">
        <v>27</v>
      </c>
      <c r="F34" s="5"/>
      <c r="G34" s="5"/>
    </row>
    <row r="35" customFormat="false" ht="15" hidden="false" customHeight="false" outlineLevel="0" collapsed="false">
      <c r="A35" s="3" t="s">
        <v>67</v>
      </c>
      <c r="B35" s="3" t="s">
        <v>82</v>
      </c>
      <c r="C35" s="3" t="s">
        <v>83</v>
      </c>
      <c r="D35" s="3" t="s">
        <v>43</v>
      </c>
      <c r="E35" s="4" t="s">
        <v>12</v>
      </c>
      <c r="F35" s="3"/>
      <c r="G35" s="3"/>
    </row>
    <row r="36" customFormat="false" ht="15" hidden="false" customHeight="false" outlineLevel="0" collapsed="false">
      <c r="A36" s="5" t="s">
        <v>67</v>
      </c>
      <c r="B36" s="5" t="s">
        <v>84</v>
      </c>
      <c r="C36" s="5" t="s">
        <v>85</v>
      </c>
      <c r="D36" s="5" t="s">
        <v>43</v>
      </c>
      <c r="E36" s="7" t="s">
        <v>27</v>
      </c>
      <c r="F36" s="5"/>
      <c r="G36" s="5"/>
    </row>
    <row r="37" customFormat="false" ht="15" hidden="false" customHeight="false" outlineLevel="0" collapsed="false">
      <c r="A37" s="3" t="s">
        <v>67</v>
      </c>
      <c r="B37" s="3" t="s">
        <v>86</v>
      </c>
      <c r="C37" s="3" t="s">
        <v>87</v>
      </c>
      <c r="D37" s="3" t="s">
        <v>43</v>
      </c>
      <c r="E37" s="4" t="s">
        <v>12</v>
      </c>
      <c r="F37" s="3"/>
      <c r="G37" s="3"/>
    </row>
    <row r="38" customFormat="false" ht="15" hidden="false" customHeight="false" outlineLevel="0" collapsed="false">
      <c r="A38" s="5" t="s">
        <v>88</v>
      </c>
      <c r="B38" s="5" t="s">
        <v>89</v>
      </c>
      <c r="C38" s="5" t="s">
        <v>90</v>
      </c>
      <c r="D38" s="5" t="s">
        <v>43</v>
      </c>
      <c r="E38" s="6" t="s">
        <v>12</v>
      </c>
      <c r="F38" s="5"/>
      <c r="G38" s="5"/>
    </row>
    <row r="39" customFormat="false" ht="15" hidden="false" customHeight="false" outlineLevel="0" collapsed="false">
      <c r="A39" s="3" t="s">
        <v>88</v>
      </c>
      <c r="B39" s="3" t="s">
        <v>91</v>
      </c>
      <c r="C39" s="3" t="s">
        <v>92</v>
      </c>
      <c r="D39" s="3" t="s">
        <v>43</v>
      </c>
      <c r="E39" s="4" t="s">
        <v>12</v>
      </c>
      <c r="F39" s="3"/>
      <c r="G39" s="3"/>
    </row>
    <row r="40" customFormat="false" ht="15" hidden="false" customHeight="false" outlineLevel="0" collapsed="false">
      <c r="A40" s="5" t="s">
        <v>88</v>
      </c>
      <c r="B40" s="5" t="s">
        <v>93</v>
      </c>
      <c r="C40" s="5" t="s">
        <v>94</v>
      </c>
      <c r="D40" s="5" t="s">
        <v>43</v>
      </c>
      <c r="E40" s="6" t="s">
        <v>12</v>
      </c>
      <c r="F40" s="5"/>
      <c r="G40" s="5"/>
    </row>
    <row r="41" customFormat="false" ht="15" hidden="false" customHeight="false" outlineLevel="0" collapsed="false">
      <c r="A41" s="3" t="s">
        <v>88</v>
      </c>
      <c r="B41" s="3" t="s">
        <v>95</v>
      </c>
      <c r="C41" s="3" t="s">
        <v>96</v>
      </c>
      <c r="D41" s="3" t="s">
        <v>43</v>
      </c>
      <c r="E41" s="4" t="s">
        <v>12</v>
      </c>
      <c r="F41" s="3"/>
      <c r="G41" s="3"/>
    </row>
    <row r="42" customFormat="false" ht="15" hidden="false" customHeight="false" outlineLevel="0" collapsed="false">
      <c r="A42" s="5" t="s">
        <v>88</v>
      </c>
      <c r="B42" s="5" t="s">
        <v>97</v>
      </c>
      <c r="C42" s="5" t="s">
        <v>98</v>
      </c>
      <c r="D42" s="5" t="s">
        <v>43</v>
      </c>
      <c r="E42" s="6" t="s">
        <v>12</v>
      </c>
      <c r="F42" s="5"/>
      <c r="G42" s="5"/>
    </row>
    <row r="43" customFormat="false" ht="15" hidden="false" customHeight="false" outlineLevel="0" collapsed="false">
      <c r="A43" s="3" t="s">
        <v>88</v>
      </c>
      <c r="B43" s="3" t="s">
        <v>99</v>
      </c>
      <c r="C43" s="3" t="s">
        <v>100</v>
      </c>
      <c r="D43" s="3" t="s">
        <v>43</v>
      </c>
      <c r="E43" s="8" t="s">
        <v>27</v>
      </c>
      <c r="F43" s="3"/>
      <c r="G43" s="3"/>
    </row>
    <row r="44" customFormat="false" ht="15" hidden="false" customHeight="false" outlineLevel="0" collapsed="false">
      <c r="A44" s="5" t="s">
        <v>88</v>
      </c>
      <c r="B44" s="5" t="s">
        <v>101</v>
      </c>
      <c r="C44" s="5" t="s">
        <v>102</v>
      </c>
      <c r="D44" s="5" t="s">
        <v>43</v>
      </c>
      <c r="E44" s="7" t="s">
        <v>27</v>
      </c>
      <c r="F44" s="5"/>
      <c r="G44" s="5"/>
    </row>
    <row r="45" customFormat="false" ht="15" hidden="false" customHeight="false" outlineLevel="0" collapsed="false">
      <c r="A45" s="3" t="s">
        <v>103</v>
      </c>
      <c r="B45" s="3" t="s">
        <v>104</v>
      </c>
      <c r="C45" s="3" t="s">
        <v>105</v>
      </c>
      <c r="D45" s="3" t="s">
        <v>43</v>
      </c>
      <c r="E45" s="4" t="s">
        <v>12</v>
      </c>
      <c r="F45" s="3"/>
      <c r="G45" s="3"/>
    </row>
    <row r="46" customFormat="false" ht="15" hidden="false" customHeight="false" outlineLevel="0" collapsed="false">
      <c r="A46" s="5" t="s">
        <v>103</v>
      </c>
      <c r="B46" s="5" t="s">
        <v>106</v>
      </c>
      <c r="C46" s="5" t="s">
        <v>107</v>
      </c>
      <c r="D46" s="5" t="s">
        <v>43</v>
      </c>
      <c r="E46" s="6" t="s">
        <v>12</v>
      </c>
      <c r="F46" s="5"/>
      <c r="G46" s="5"/>
    </row>
    <row r="47" customFormat="false" ht="15" hidden="false" customHeight="false" outlineLevel="0" collapsed="false">
      <c r="A47" s="3" t="s">
        <v>103</v>
      </c>
      <c r="B47" s="3" t="s">
        <v>108</v>
      </c>
      <c r="C47" s="3" t="s">
        <v>109</v>
      </c>
      <c r="D47" s="3" t="s">
        <v>43</v>
      </c>
      <c r="E47" s="4" t="s">
        <v>12</v>
      </c>
      <c r="F47" s="3"/>
      <c r="G47" s="3"/>
    </row>
    <row r="48" customFormat="false" ht="15" hidden="false" customHeight="false" outlineLevel="0" collapsed="false">
      <c r="A48" s="5" t="s">
        <v>103</v>
      </c>
      <c r="B48" s="5" t="s">
        <v>110</v>
      </c>
      <c r="C48" s="5" t="s">
        <v>111</v>
      </c>
      <c r="D48" s="5" t="s">
        <v>43</v>
      </c>
      <c r="E48" s="6" t="s">
        <v>12</v>
      </c>
      <c r="F48" s="5"/>
      <c r="G48" s="5"/>
    </row>
    <row r="49" customFormat="false" ht="15" hidden="false" customHeight="false" outlineLevel="0" collapsed="false">
      <c r="A49" s="3" t="s">
        <v>103</v>
      </c>
      <c r="B49" s="3" t="s">
        <v>112</v>
      </c>
      <c r="C49" s="3" t="s">
        <v>113</v>
      </c>
      <c r="D49" s="3" t="s">
        <v>43</v>
      </c>
      <c r="E49" s="4" t="s">
        <v>12</v>
      </c>
      <c r="F49" s="3"/>
      <c r="G49" s="3"/>
    </row>
    <row r="50" customFormat="false" ht="15" hidden="false" customHeight="false" outlineLevel="0" collapsed="false">
      <c r="A50" s="5" t="s">
        <v>103</v>
      </c>
      <c r="B50" s="5" t="s">
        <v>114</v>
      </c>
      <c r="C50" s="5" t="s">
        <v>115</v>
      </c>
      <c r="D50" s="5" t="s">
        <v>43</v>
      </c>
      <c r="E50" s="7" t="s">
        <v>27</v>
      </c>
      <c r="F50" s="5"/>
      <c r="G50" s="5"/>
    </row>
    <row r="51" customFormat="false" ht="15" hidden="false" customHeight="false" outlineLevel="0" collapsed="false">
      <c r="A51" s="3" t="s">
        <v>103</v>
      </c>
      <c r="B51" s="3" t="s">
        <v>116</v>
      </c>
      <c r="C51" s="3" t="s">
        <v>117</v>
      </c>
      <c r="D51" s="3" t="s">
        <v>43</v>
      </c>
      <c r="E51" s="4" t="s">
        <v>12</v>
      </c>
      <c r="F51" s="3"/>
      <c r="G51" s="3"/>
    </row>
    <row r="52" customFormat="false" ht="15" hidden="false" customHeight="false" outlineLevel="0" collapsed="false">
      <c r="A52" s="5" t="s">
        <v>118</v>
      </c>
      <c r="B52" s="5" t="s">
        <v>119</v>
      </c>
      <c r="C52" s="5" t="s">
        <v>120</v>
      </c>
      <c r="D52" s="5" t="s">
        <v>43</v>
      </c>
      <c r="E52" s="6" t="s">
        <v>12</v>
      </c>
      <c r="F52" s="5"/>
      <c r="G52" s="5"/>
    </row>
    <row r="53" customFormat="false" ht="15" hidden="false" customHeight="false" outlineLevel="0" collapsed="false">
      <c r="A53" s="3" t="s">
        <v>118</v>
      </c>
      <c r="B53" s="3" t="s">
        <v>121</v>
      </c>
      <c r="C53" s="3" t="s">
        <v>122</v>
      </c>
      <c r="D53" s="3" t="s">
        <v>43</v>
      </c>
      <c r="E53" s="4" t="s">
        <v>12</v>
      </c>
      <c r="F53" s="3"/>
      <c r="G53" s="3"/>
    </row>
    <row r="54" customFormat="false" ht="15" hidden="false" customHeight="false" outlineLevel="0" collapsed="false">
      <c r="A54" s="5" t="s">
        <v>118</v>
      </c>
      <c r="B54" s="5" t="s">
        <v>123</v>
      </c>
      <c r="C54" s="5" t="s">
        <v>124</v>
      </c>
      <c r="D54" s="5" t="s">
        <v>43</v>
      </c>
      <c r="E54" s="6" t="s">
        <v>12</v>
      </c>
      <c r="F54" s="5"/>
      <c r="G54" s="5"/>
    </row>
    <row r="55" customFormat="false" ht="15" hidden="false" customHeight="false" outlineLevel="0" collapsed="false">
      <c r="A55" s="3" t="s">
        <v>118</v>
      </c>
      <c r="B55" s="3" t="s">
        <v>125</v>
      </c>
      <c r="C55" s="3" t="s">
        <v>126</v>
      </c>
      <c r="D55" s="3" t="s">
        <v>43</v>
      </c>
      <c r="E55" s="8" t="s">
        <v>27</v>
      </c>
      <c r="F55" s="3"/>
      <c r="G55" s="3"/>
    </row>
    <row r="56" customFormat="false" ht="15" hidden="false" customHeight="false" outlineLevel="0" collapsed="false">
      <c r="A56" s="5" t="s">
        <v>118</v>
      </c>
      <c r="B56" s="5" t="s">
        <v>127</v>
      </c>
      <c r="C56" s="5" t="s">
        <v>128</v>
      </c>
      <c r="D56" s="5" t="s">
        <v>43</v>
      </c>
      <c r="E56" s="7" t="s">
        <v>27</v>
      </c>
      <c r="F56" s="5"/>
      <c r="G56" s="5"/>
    </row>
    <row r="57" customFormat="false" ht="15" hidden="false" customHeight="false" outlineLevel="0" collapsed="false">
      <c r="A57" s="3" t="s">
        <v>118</v>
      </c>
      <c r="B57" s="3" t="s">
        <v>129</v>
      </c>
      <c r="C57" s="3" t="s">
        <v>130</v>
      </c>
      <c r="D57" s="3" t="s">
        <v>11</v>
      </c>
      <c r="E57" s="4" t="s">
        <v>12</v>
      </c>
      <c r="F57" s="3"/>
      <c r="G57" s="3"/>
    </row>
    <row r="58" customFormat="false" ht="15" hidden="false" customHeight="false" outlineLevel="0" collapsed="false">
      <c r="A58" s="5" t="s">
        <v>131</v>
      </c>
      <c r="B58" s="5" t="s">
        <v>132</v>
      </c>
      <c r="C58" s="5" t="s">
        <v>133</v>
      </c>
      <c r="D58" s="5" t="s">
        <v>43</v>
      </c>
      <c r="E58" s="7" t="s">
        <v>27</v>
      </c>
      <c r="F58" s="5"/>
      <c r="G58" s="5"/>
    </row>
    <row r="59" customFormat="false" ht="15" hidden="false" customHeight="false" outlineLevel="0" collapsed="false">
      <c r="A59" s="3" t="s">
        <v>131</v>
      </c>
      <c r="B59" s="3" t="s">
        <v>134</v>
      </c>
      <c r="C59" s="3" t="s">
        <v>135</v>
      </c>
      <c r="D59" s="3" t="s">
        <v>43</v>
      </c>
      <c r="E59" s="4" t="s">
        <v>12</v>
      </c>
      <c r="F59" s="3"/>
      <c r="G59" s="3"/>
    </row>
    <row r="60" customFormat="false" ht="15" hidden="false" customHeight="false" outlineLevel="0" collapsed="false">
      <c r="A60" s="5" t="s">
        <v>131</v>
      </c>
      <c r="B60" s="5" t="s">
        <v>136</v>
      </c>
      <c r="C60" s="5" t="s">
        <v>137</v>
      </c>
      <c r="D60" s="5" t="s">
        <v>43</v>
      </c>
      <c r="E60" s="7" t="s">
        <v>27</v>
      </c>
      <c r="F60" s="5"/>
      <c r="G60" s="5"/>
    </row>
    <row r="61" customFormat="false" ht="15" hidden="false" customHeight="false" outlineLevel="0" collapsed="false">
      <c r="A61" s="3" t="s">
        <v>131</v>
      </c>
      <c r="B61" s="3" t="s">
        <v>138</v>
      </c>
      <c r="C61" s="3" t="s">
        <v>139</v>
      </c>
      <c r="D61" s="3" t="s">
        <v>43</v>
      </c>
      <c r="E61" s="4" t="s">
        <v>12</v>
      </c>
      <c r="F61" s="3"/>
      <c r="G61" s="3"/>
    </row>
    <row r="62" customFormat="false" ht="15" hidden="false" customHeight="false" outlineLevel="0" collapsed="false">
      <c r="A62" s="5" t="s">
        <v>140</v>
      </c>
      <c r="B62" s="5" t="s">
        <v>141</v>
      </c>
      <c r="C62" s="5" t="s">
        <v>142</v>
      </c>
      <c r="D62" s="5" t="s">
        <v>43</v>
      </c>
      <c r="E62" s="7" t="s">
        <v>27</v>
      </c>
      <c r="F62" s="5"/>
      <c r="G62" s="5"/>
    </row>
    <row r="63" customFormat="false" ht="15" hidden="false" customHeight="false" outlineLevel="0" collapsed="false">
      <c r="A63" s="3" t="s">
        <v>140</v>
      </c>
      <c r="B63" s="3" t="s">
        <v>143</v>
      </c>
      <c r="C63" s="3" t="s">
        <v>144</v>
      </c>
      <c r="D63" s="3" t="s">
        <v>43</v>
      </c>
      <c r="E63" s="8" t="s">
        <v>27</v>
      </c>
      <c r="F63" s="3"/>
      <c r="G63" s="3"/>
    </row>
    <row r="64" customFormat="false" ht="15" hidden="false" customHeight="false" outlineLevel="0" collapsed="false">
      <c r="A64" s="5" t="s">
        <v>145</v>
      </c>
      <c r="B64" s="5" t="s">
        <v>146</v>
      </c>
      <c r="C64" s="5" t="s">
        <v>147</v>
      </c>
      <c r="D64" s="5" t="s">
        <v>43</v>
      </c>
      <c r="E64" s="9" t="s">
        <v>148</v>
      </c>
      <c r="F64" s="5"/>
      <c r="G64" s="5"/>
    </row>
    <row r="65" customFormat="false" ht="15" hidden="false" customHeight="false" outlineLevel="0" collapsed="false">
      <c r="A65" s="3" t="s">
        <v>145</v>
      </c>
      <c r="B65" s="3" t="s">
        <v>149</v>
      </c>
      <c r="C65" s="3" t="s">
        <v>150</v>
      </c>
      <c r="D65" s="3" t="s">
        <v>43</v>
      </c>
      <c r="E65" s="10" t="s">
        <v>148</v>
      </c>
      <c r="F65" s="3"/>
      <c r="G65" s="3"/>
    </row>
    <row r="66" customFormat="false" ht="15" hidden="false" customHeight="false" outlineLevel="0" collapsed="false">
      <c r="A66" s="5" t="s">
        <v>151</v>
      </c>
      <c r="B66" s="5" t="s">
        <v>152</v>
      </c>
      <c r="C66" s="5" t="s">
        <v>153</v>
      </c>
      <c r="D66" s="5" t="s">
        <v>43</v>
      </c>
      <c r="E66" s="9" t="s">
        <v>148</v>
      </c>
      <c r="F66" s="5"/>
      <c r="G66" s="5"/>
    </row>
    <row r="67" customFormat="false" ht="15" hidden="false" customHeight="false" outlineLevel="0" collapsed="false">
      <c r="A67" s="3" t="s">
        <v>151</v>
      </c>
      <c r="B67" s="3" t="s">
        <v>154</v>
      </c>
      <c r="C67" s="3" t="s">
        <v>155</v>
      </c>
      <c r="D67" s="3" t="s">
        <v>43</v>
      </c>
      <c r="E67" s="8" t="s">
        <v>27</v>
      </c>
      <c r="F67" s="3"/>
      <c r="G67" s="3"/>
    </row>
    <row r="68" customFormat="false" ht="15" hidden="false" customHeight="false" outlineLevel="0" collapsed="false">
      <c r="A68" s="5" t="s">
        <v>151</v>
      </c>
      <c r="B68" s="5" t="s">
        <v>156</v>
      </c>
      <c r="C68" s="5" t="s">
        <v>157</v>
      </c>
      <c r="D68" s="5" t="s">
        <v>43</v>
      </c>
      <c r="E68" s="6" t="s">
        <v>12</v>
      </c>
      <c r="F68" s="5"/>
      <c r="G68" s="5"/>
    </row>
    <row r="69" customFormat="false" ht="15" hidden="false" customHeight="false" outlineLevel="0" collapsed="false">
      <c r="A69" s="3" t="s">
        <v>158</v>
      </c>
      <c r="B69" s="3" t="s">
        <v>159</v>
      </c>
      <c r="C69" s="3" t="s">
        <v>160</v>
      </c>
      <c r="D69" s="3" t="s">
        <v>43</v>
      </c>
      <c r="E69" s="8" t="s">
        <v>27</v>
      </c>
      <c r="F69" s="3"/>
      <c r="G69" s="3"/>
    </row>
    <row r="70" customFormat="false" ht="15" hidden="false" customHeight="false" outlineLevel="0" collapsed="false">
      <c r="A70" s="5" t="s">
        <v>158</v>
      </c>
      <c r="B70" s="5" t="s">
        <v>161</v>
      </c>
      <c r="C70" s="5" t="s">
        <v>162</v>
      </c>
      <c r="D70" s="5" t="s">
        <v>43</v>
      </c>
      <c r="E70" s="6" t="s">
        <v>12</v>
      </c>
      <c r="F70" s="5"/>
      <c r="G70" s="5"/>
    </row>
    <row r="71" customFormat="false" ht="15" hidden="false" customHeight="false" outlineLevel="0" collapsed="false">
      <c r="A71" s="3" t="s">
        <v>163</v>
      </c>
      <c r="B71" s="3" t="s">
        <v>164</v>
      </c>
      <c r="C71" s="3" t="s">
        <v>165</v>
      </c>
      <c r="D71" s="3" t="s">
        <v>43</v>
      </c>
      <c r="E71" s="4" t="s">
        <v>12</v>
      </c>
      <c r="F71" s="3"/>
      <c r="G71" s="3"/>
    </row>
    <row r="72" customFormat="false" ht="15" hidden="false" customHeight="false" outlineLevel="0" collapsed="false">
      <c r="A72" s="5" t="s">
        <v>163</v>
      </c>
      <c r="B72" s="5" t="s">
        <v>166</v>
      </c>
      <c r="C72" s="5" t="s">
        <v>167</v>
      </c>
      <c r="D72" s="5" t="s">
        <v>43</v>
      </c>
      <c r="E72" s="6" t="s">
        <v>12</v>
      </c>
      <c r="F72" s="5"/>
      <c r="G72" s="5"/>
    </row>
    <row r="73" customFormat="false" ht="15" hidden="false" customHeight="false" outlineLevel="0" collapsed="false">
      <c r="A73" s="3" t="s">
        <v>163</v>
      </c>
      <c r="B73" s="3" t="s">
        <v>168</v>
      </c>
      <c r="C73" s="3" t="s">
        <v>167</v>
      </c>
      <c r="D73" s="3" t="s">
        <v>43</v>
      </c>
      <c r="E73" s="4" t="s">
        <v>12</v>
      </c>
      <c r="F73" s="3"/>
      <c r="G73" s="3"/>
    </row>
    <row r="74" customFormat="false" ht="15" hidden="false" customHeight="false" outlineLevel="0" collapsed="false">
      <c r="A74" s="5" t="s">
        <v>163</v>
      </c>
      <c r="B74" s="5" t="s">
        <v>169</v>
      </c>
      <c r="C74" s="5" t="s">
        <v>170</v>
      </c>
      <c r="D74" s="5" t="s">
        <v>43</v>
      </c>
      <c r="E74" s="6" t="s">
        <v>12</v>
      </c>
      <c r="F74" s="5"/>
      <c r="G74" s="5"/>
    </row>
    <row r="75" customFormat="false" ht="15" hidden="false" customHeight="false" outlineLevel="0" collapsed="false">
      <c r="A75" s="3" t="s">
        <v>163</v>
      </c>
      <c r="B75" s="3" t="s">
        <v>171</v>
      </c>
      <c r="C75" s="3" t="s">
        <v>172</v>
      </c>
      <c r="D75" s="3" t="s">
        <v>43</v>
      </c>
      <c r="E75" s="4" t="s">
        <v>12</v>
      </c>
      <c r="F75" s="3"/>
      <c r="G75" s="3"/>
    </row>
    <row r="76" customFormat="false" ht="15" hidden="false" customHeight="false" outlineLevel="0" collapsed="false">
      <c r="A76" s="5" t="s">
        <v>163</v>
      </c>
      <c r="B76" s="5" t="s">
        <v>173</v>
      </c>
      <c r="C76" s="5" t="s">
        <v>174</v>
      </c>
      <c r="D76" s="5" t="s">
        <v>43</v>
      </c>
      <c r="E76" s="6" t="s">
        <v>12</v>
      </c>
      <c r="F76" s="5"/>
      <c r="G76" s="5"/>
    </row>
    <row r="77" customFormat="false" ht="15" hidden="false" customHeight="false" outlineLevel="0" collapsed="false">
      <c r="A77" s="3" t="s">
        <v>163</v>
      </c>
      <c r="B77" s="3" t="s">
        <v>175</v>
      </c>
      <c r="C77" s="3" t="s">
        <v>176</v>
      </c>
      <c r="D77" s="3" t="s">
        <v>43</v>
      </c>
      <c r="E77" s="4" t="s">
        <v>12</v>
      </c>
      <c r="F77" s="3"/>
      <c r="G77" s="3"/>
    </row>
    <row r="78" customFormat="false" ht="15" hidden="false" customHeight="false" outlineLevel="0" collapsed="false">
      <c r="A78" s="5" t="s">
        <v>177</v>
      </c>
      <c r="B78" s="5" t="s">
        <v>178</v>
      </c>
      <c r="C78" s="5" t="s">
        <v>179</v>
      </c>
      <c r="D78" s="5" t="s">
        <v>11</v>
      </c>
      <c r="E78" s="7" t="s">
        <v>27</v>
      </c>
      <c r="F78" s="5"/>
      <c r="G78" s="5"/>
    </row>
    <row r="79" customFormat="false" ht="15" hidden="false" customHeight="false" outlineLevel="0" collapsed="false">
      <c r="A79" s="3" t="s">
        <v>177</v>
      </c>
      <c r="B79" s="3" t="s">
        <v>180</v>
      </c>
      <c r="C79" s="3" t="s">
        <v>181</v>
      </c>
      <c r="D79" s="3" t="s">
        <v>43</v>
      </c>
      <c r="E79" s="8" t="s">
        <v>27</v>
      </c>
      <c r="F79" s="3"/>
      <c r="G79" s="3"/>
    </row>
    <row r="80" customFormat="false" ht="15" hidden="false" customHeight="false" outlineLevel="0" collapsed="false">
      <c r="A80" s="5" t="s">
        <v>177</v>
      </c>
      <c r="B80" s="5" t="s">
        <v>182</v>
      </c>
      <c r="C80" s="5" t="s">
        <v>183</v>
      </c>
      <c r="D80" s="5" t="s">
        <v>11</v>
      </c>
      <c r="E80" s="7" t="s">
        <v>27</v>
      </c>
      <c r="F80" s="5"/>
      <c r="G80" s="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27.75" hidden="false" customHeight="true" outlineLevel="0" collapsed="false">
      <c r="A1" s="1" t="s">
        <v>184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185</v>
      </c>
      <c r="C2" s="2" t="s">
        <v>186</v>
      </c>
    </row>
    <row r="3" customFormat="false" ht="15" hidden="false" customHeight="false" outlineLevel="0" collapsed="false">
      <c r="A3" s="11" t="s">
        <v>145</v>
      </c>
      <c r="B3" s="12" t="n">
        <f aca="false">COUNTIF(Testprotokoll!A3:A80,"Admin Analytics")</f>
        <v>2</v>
      </c>
      <c r="C3" s="12" t="n">
        <f aca="false">COUNTIFS(Testprotokoll!A3:A80,"Admin Analytics",Testprotokoll!F3:F80,"Pass")</f>
        <v>0</v>
      </c>
    </row>
    <row r="4" customFormat="false" ht="15" hidden="false" customHeight="false" outlineLevel="0" collapsed="false">
      <c r="A4" s="11" t="s">
        <v>131</v>
      </c>
      <c r="B4" s="12" t="n">
        <f aca="false">COUNTIF(Testprotokoll!A3:A80,"Admin Bildarchiv")</f>
        <v>4</v>
      </c>
      <c r="C4" s="12" t="n">
        <f aca="false">COUNTIFS(Testprotokoll!A3:A80,"Admin Bildarchiv",Testprotokoll!F3:F80,"Pass")</f>
        <v>0</v>
      </c>
    </row>
    <row r="5" customFormat="false" ht="15" hidden="false" customHeight="false" outlineLevel="0" collapsed="false">
      <c r="A5" s="11" t="s">
        <v>60</v>
      </c>
      <c r="B5" s="12" t="n">
        <f aca="false">COUNTIF(Testprotokoll!A3:A80,"Admin Dashboard")</f>
        <v>3</v>
      </c>
      <c r="C5" s="12" t="n">
        <f aca="false">COUNTIFS(Testprotokoll!A3:A80,"Admin Dashboard",Testprotokoll!F3:F80,"Pass")</f>
        <v>0</v>
      </c>
    </row>
    <row r="6" customFormat="false" ht="15" hidden="false" customHeight="false" outlineLevel="0" collapsed="false">
      <c r="A6" s="11" t="s">
        <v>103</v>
      </c>
      <c r="B6" s="12" t="n">
        <f aca="false">COUNTIF(Testprotokoll!A3:A80,"Admin Design")</f>
        <v>7</v>
      </c>
      <c r="C6" s="12" t="n">
        <f aca="false">COUNTIFS(Testprotokoll!A3:A80,"Admin Design",Testprotokoll!F3:F80,"Pass")</f>
        <v>0</v>
      </c>
    </row>
    <row r="7" customFormat="false" ht="15" hidden="false" customHeight="false" outlineLevel="0" collapsed="false">
      <c r="A7" s="11" t="s">
        <v>140</v>
      </c>
      <c r="B7" s="12" t="n">
        <f aca="false">COUNTIF(Testprotokoll!A3:A80,"Admin Import")</f>
        <v>2</v>
      </c>
      <c r="C7" s="12" t="n">
        <f aca="false">COUNTIFS(Testprotokoll!A3:A80,"Admin Import",Testprotokoll!F3:F80,"Pass")</f>
        <v>0</v>
      </c>
    </row>
    <row r="8" customFormat="false" ht="15" hidden="false" customHeight="false" outlineLevel="0" collapsed="false">
      <c r="A8" s="11" t="s">
        <v>88</v>
      </c>
      <c r="B8" s="12" t="n">
        <f aca="false">COUNTIF(Testprotokoll!A3:A80,"Admin Karten")</f>
        <v>7</v>
      </c>
      <c r="C8" s="12" t="n">
        <f aca="false">COUNTIFS(Testprotokoll!A3:A80,"Admin Karten",Testprotokoll!F3:F80,"Pass")</f>
        <v>0</v>
      </c>
    </row>
    <row r="9" customFormat="false" ht="15" hidden="false" customHeight="false" outlineLevel="0" collapsed="false">
      <c r="A9" s="11" t="s">
        <v>51</v>
      </c>
      <c r="B9" s="12" t="n">
        <f aca="false">COUNTIF(Testprotokoll!A3:A80,"Admin Login")</f>
        <v>4</v>
      </c>
      <c r="C9" s="12" t="n">
        <f aca="false">COUNTIFS(Testprotokoll!A3:A80,"Admin Login",Testprotokoll!F3:F80,"Pass")</f>
        <v>0</v>
      </c>
    </row>
    <row r="10" customFormat="false" ht="15" hidden="false" customHeight="false" outlineLevel="0" collapsed="false">
      <c r="A10" s="11" t="s">
        <v>158</v>
      </c>
      <c r="B10" s="12" t="n">
        <f aca="false">COUNTIF(Testprotokoll!A3:A80,"Admin PDF")</f>
        <v>2</v>
      </c>
      <c r="C10" s="12" t="n">
        <f aca="false">COUNTIFS(Testprotokoll!A3:A80,"Admin PDF",Testprotokoll!F3:F80,"Pass")</f>
        <v>0</v>
      </c>
    </row>
    <row r="11" customFormat="false" ht="15" hidden="false" customHeight="false" outlineLevel="0" collapsed="false">
      <c r="A11" s="11" t="s">
        <v>67</v>
      </c>
      <c r="B11" s="12" t="n">
        <f aca="false">COUNTIF(Testprotokoll!A3:A80,"Admin Produkte")</f>
        <v>10</v>
      </c>
      <c r="C11" s="12" t="n">
        <f aca="false">COUNTIFS(Testprotokoll!A3:A80,"Admin Produkte",Testprotokoll!F3:F80,"Pass")</f>
        <v>0</v>
      </c>
    </row>
    <row r="12" customFormat="false" ht="15" hidden="false" customHeight="false" outlineLevel="0" collapsed="false">
      <c r="A12" s="11" t="s">
        <v>118</v>
      </c>
      <c r="B12" s="12" t="n">
        <f aca="false">COUNTIF(Testprotokoll!A3:A80,"Admin QR-Codes")</f>
        <v>6</v>
      </c>
      <c r="C12" s="12" t="n">
        <f aca="false">COUNTIFS(Testprotokoll!A3:A80,"Admin QR-Codes",Testprotokoll!F3:F80,"Pass")</f>
        <v>0</v>
      </c>
    </row>
    <row r="13" customFormat="false" ht="15" hidden="false" customHeight="false" outlineLevel="0" collapsed="false">
      <c r="A13" s="11" t="s">
        <v>151</v>
      </c>
      <c r="B13" s="12" t="n">
        <f aca="false">COUNTIF(Testprotokoll!A3:A80,"Admin Settings")</f>
        <v>3</v>
      </c>
      <c r="C13" s="12" t="n">
        <f aca="false">COUNTIFS(Testprotokoll!A3:A80,"Admin Settings",Testprotokoll!F3:F80,"Pass")</f>
        <v>0</v>
      </c>
    </row>
    <row r="14" customFormat="false" ht="15" hidden="false" customHeight="false" outlineLevel="0" collapsed="false">
      <c r="A14" s="11" t="s">
        <v>40</v>
      </c>
      <c r="B14" s="12" t="n">
        <f aca="false">COUNTIF(Testprotokoll!A3:A80,"Gäste Desktop")</f>
        <v>4</v>
      </c>
      <c r="C14" s="12" t="n">
        <f aca="false">COUNTIFS(Testprotokoll!A3:A80,"Gäste Desktop",Testprotokoll!F3:F80,"Pass")</f>
        <v>0</v>
      </c>
    </row>
    <row r="15" customFormat="false" ht="15" hidden="false" customHeight="false" outlineLevel="0" collapsed="false">
      <c r="A15" s="11" t="s">
        <v>8</v>
      </c>
      <c r="B15" s="12" t="n">
        <f aca="false">COUNTIF(Testprotokoll!A3:A80,"Gäste Mobile")</f>
        <v>14</v>
      </c>
      <c r="C15" s="12" t="n">
        <f aca="false">COUNTIFS(Testprotokoll!A3:A80,"Gäste Mobile",Testprotokoll!F3:F80,"Pass")</f>
        <v>0</v>
      </c>
    </row>
    <row r="16" customFormat="false" ht="15" hidden="false" customHeight="false" outlineLevel="0" collapsed="false">
      <c r="A16" s="11" t="s">
        <v>177</v>
      </c>
      <c r="B16" s="12" t="n">
        <f aca="false">COUNTIF(Testprotokoll!A3:A80,"Performance")</f>
        <v>3</v>
      </c>
      <c r="C16" s="12" t="n">
        <f aca="false">COUNTIFS(Testprotokoll!A3:A80,"Performance",Testprotokoll!F3:F80,"Pass")</f>
        <v>0</v>
      </c>
    </row>
    <row r="17" customFormat="false" ht="15" hidden="false" customHeight="false" outlineLevel="0" collapsed="false">
      <c r="A17" s="11" t="s">
        <v>163</v>
      </c>
      <c r="B17" s="12" t="n">
        <f aca="false">COUNTIF(Testprotokoll!A3:A80,"Security")</f>
        <v>7</v>
      </c>
      <c r="C17" s="12" t="n">
        <f aca="false">COUNTIFS(Testprotokoll!A3:A80,"Security",Testprotokoll!F3:F80,"Pass")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2026-04-14T16:30:18Z</dcterms:created>
  <dc:creator>openpyxl</dc:creator>
  <dc:description/>
  <dc:language>en-US</dc:language>
  <cp:lastModifiedBy/>
  <dcterms:modified xsi:type="dcterms:W3CDTF">2026-04-14T16:30:18Z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